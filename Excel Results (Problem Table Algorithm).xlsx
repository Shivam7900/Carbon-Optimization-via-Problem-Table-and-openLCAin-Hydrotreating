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30" yWindow="490" windowWidth="18880" windowHeight="8740" activeTab="2"/>
  </bookViews>
  <sheets>
    <sheet name="Stream Data" sheetId="3" r:id="rId1"/>
    <sheet name="Cascade Matrix" sheetId="2" r:id="rId2"/>
    <sheet name="Hot and Cold Curve" sheetId="1" r:id="rId3"/>
  </sheets>
  <definedNames>
    <definedName name="HEN">'Cascade Matrix'!$A$1:$G$9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F3" i="2" s="1"/>
  <c r="F4" i="2" s="1"/>
  <c r="F5" i="2" s="1"/>
</calcChain>
</file>

<file path=xl/sharedStrings.xml><?xml version="1.0" encoding="utf-8"?>
<sst xmlns="http://schemas.openxmlformats.org/spreadsheetml/2006/main" count="31" uniqueCount="30">
  <si>
    <t>Stream ID</t>
  </si>
  <si>
    <t>Type</t>
  </si>
  <si>
    <t>Ts​ (°C)</t>
  </si>
  <si>
    <t>Tt​ (°C)</t>
  </si>
  <si>
    <t>ΔH (kJ/hr)</t>
  </si>
  <si>
    <t>CP (kJ/hr-°C)</t>
  </si>
  <si>
    <t>Shifted Ts​ (°C)</t>
  </si>
  <si>
    <t>Shifted Tt​ (°C)</t>
  </si>
  <si>
    <t>RX-OUT to TC-OUT</t>
  </si>
  <si>
    <t>Hot</t>
  </si>
  <si>
    <t>MIX-FEED to RX-IN</t>
  </si>
  <si>
    <t>Cold</t>
  </si>
  <si>
    <t>Interval</t>
  </si>
  <si>
    <t>Shifted Temp Range (°C)</t>
  </si>
  <si>
    <t>Active Streams</t>
  </si>
  <si>
    <t>Net CP (kJ/hr-°C)</t>
  </si>
  <si>
    <t>Zone Heat (kJ/hr)</t>
  </si>
  <si>
    <t>Cumulative Cascade (kJ/hr)</t>
  </si>
  <si>
    <t>(Start)</t>
  </si>
  <si>
    <t>-</t>
  </si>
  <si>
    <t>333.06 down to 320.00</t>
  </si>
  <si>
    <t>Hot Only</t>
  </si>
  <si>
    <t>320.00 down to 35.00</t>
  </si>
  <si>
    <t>Hot &amp; Cold</t>
  </si>
  <si>
    <t>35.00 down to 27.14</t>
  </si>
  <si>
    <t>Cold Only</t>
  </si>
  <si>
    <t>Hot Curve X</t>
  </si>
  <si>
    <t>Hot Curve Y</t>
  </si>
  <si>
    <t>Cold Curve X</t>
  </si>
  <si>
    <t>Cold Curve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</si>
</sst>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Arial"/>
      <scheme val="minor"/>
    </font>
    <font>
      <sz val="11"/>
      <color rgb="FFFF0000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0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color theme="1"/>
      </font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Composite Curves (Threshold Problem - Basra HDS Unit)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{"Hot Curve"}</c:f>
              <c:strCache>
                <c:ptCount val="1"/>
                <c:pt idx="0">
                  <c:v>Hot Curve</c:v>
                </c:pt>
              </c:strCache>
            </c:strRef>
          </c:tx>
          <c:spPr>
            <a:ln w="19050" cap="rnd">
              <a:solidFill>
                <a:srgbClr val="EA43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'Hot and Cold Curve'!$E$4:$E$5</c:f>
              <c:numCache>
                <c:formatCode>General</c:formatCode>
                <c:ptCount val="2"/>
                <c:pt idx="0">
                  <c:v>0</c:v>
                </c:pt>
                <c:pt idx="1">
                  <c:v>32503630</c:v>
                </c:pt>
              </c:numCache>
            </c:numRef>
          </c:xVal>
          <c:yVal>
            <c:numRef>
              <c:f>'Hot and Cold Curve'!$F$4:$F$5</c:f>
              <c:numCache>
                <c:formatCode>General</c:formatCode>
                <c:ptCount val="2"/>
                <c:pt idx="0">
                  <c:v>343.06</c:v>
                </c:pt>
                <c:pt idx="1">
                  <c:v>45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863-495C-BC4A-2A2365FEC7CC}"/>
            </c:ext>
          </c:extLst>
        </c:ser>
        <c:ser>
          <c:idx val="1"/>
          <c:order val="1"/>
          <c:tx>
            <c:strRef>
              <c:f>{"Cold Curve"}</c:f>
              <c:strCache>
                <c:ptCount val="1"/>
                <c:pt idx="0">
                  <c:v>Cold Curve</c:v>
                </c:pt>
              </c:strCache>
            </c:strRef>
          </c:tx>
          <c:spPr>
            <a:ln w="19050" cap="rnd">
              <a:solidFill>
                <a:srgbClr val="4285F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'Hot and Cold Curve'!$G$4:$G$5</c:f>
              <c:numCache>
                <c:formatCode>General</c:formatCode>
                <c:ptCount val="2"/>
                <c:pt idx="0">
                  <c:v>0</c:v>
                </c:pt>
                <c:pt idx="1">
                  <c:v>31483344</c:v>
                </c:pt>
              </c:numCache>
            </c:numRef>
          </c:xVal>
          <c:yVal>
            <c:numRef>
              <c:f>'Hot and Cold Curve'!$H$4:$H$5</c:f>
              <c:numCache>
                <c:formatCode>General</c:formatCode>
                <c:ptCount val="2"/>
                <c:pt idx="0">
                  <c:v>310</c:v>
                </c:pt>
                <c:pt idx="1">
                  <c:v>17.14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0C0-4AD9-A147-FE45F3080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49920"/>
        <c:axId val="192052224"/>
      </c:scatterChart>
      <c:valAx>
        <c:axId val="19204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Enthalpy (kJ/hr)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2224"/>
        <c:crosses val="autoZero"/>
        <c:crossBetween val="midCat"/>
      </c:valAx>
      <c:valAx>
        <c:axId val="19205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4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586788142068476"/>
          <c:y val="0.33985203042776646"/>
          <c:w val="0.44882463221509078"/>
          <c:h val="7.9947506561679788E-2"/>
        </c:manualLayout>
      </c:layout>
      <c:overlay val="1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180974</xdr:colOff>
      <xdr:row>7</xdr:row>
      <xdr:rowOff>114300</xdr:rowOff>
    </xdr:from>
    <xdr:to>
      <xdr:col>9</xdr:col>
      <xdr:colOff>247649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19FFC0-339D-CDBF-5643-19A5E76DD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E3:H5" totalsRowShown="0" headerRowDxfId="5" dataDxfId="4">
  <autoFilter ref="E3:H5"/>
  <tableColumns count="4">
    <tableColumn id="1" name="Hot Curve X" dataDxfId="3"/>
    <tableColumn id="2" name="Hot Curve Y" dataDxfId="2"/>
    <tableColumn id="3" name="Cold Curve X" dataDxfId="1"/>
    <tableColumn id="4" name="Cold Curve 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D11" sqref="D11"/>
    </sheetView>
  </sheetViews>
  <sheetFormatPr defaultRowHeight="12.5" x14ac:dyDescent="0.25"/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 spans="1:9" x14ac:dyDescent="0.25">
      <c r="A2" s="3" t="s">
        <v>8</v>
      </c>
      <c r="B2" s="3" t="s">
        <v>9</v>
      </c>
      <c r="C2" s="5">
        <v>343.06</v>
      </c>
      <c r="D2" s="5">
        <v>45</v>
      </c>
      <c r="E2" s="5">
        <v>32503630</v>
      </c>
      <c r="F2" s="5">
        <v>109050.62699999999</v>
      </c>
      <c r="G2" s="5">
        <v>333.06</v>
      </c>
      <c r="H2" s="5">
        <v>35</v>
      </c>
      <c r="I2" s="3"/>
    </row>
    <row r="3" spans="1:9" x14ac:dyDescent="0.25">
      <c r="A3" s="3" t="s">
        <v>10</v>
      </c>
      <c r="B3" s="3" t="s">
        <v>11</v>
      </c>
      <c r="C3" s="5">
        <v>17.14</v>
      </c>
      <c r="D3" s="5">
        <v>310</v>
      </c>
      <c r="E3" s="5">
        <v>31483344</v>
      </c>
      <c r="F3" s="5">
        <v>107503.053</v>
      </c>
      <c r="G3" s="5">
        <v>27.14</v>
      </c>
      <c r="H3" s="5">
        <v>320</v>
      </c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"/>
  <sheetViews>
    <sheetView workbookViewId="0">
      <selection activeCell="C14" sqref="C14"/>
    </sheetView>
  </sheetViews>
  <sheetFormatPr defaultColWidth="12.54296875" defaultRowHeight="15.75" customHeight="1" x14ac:dyDescent="0.25"/>
  <sheetData>
    <row r="1" spans="1:8" ht="12.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3"/>
      <c r="H1" s="3"/>
    </row>
    <row r="2" spans="1:8" ht="12.5" x14ac:dyDescent="0.25">
      <c r="A2" s="1">
        <v>0</v>
      </c>
      <c r="B2" s="1" t="s">
        <v>18</v>
      </c>
      <c r="C2" s="1" t="s">
        <v>19</v>
      </c>
      <c r="D2" s="1" t="s">
        <v>19</v>
      </c>
      <c r="E2" s="1">
        <v>0</v>
      </c>
      <c r="F2" s="1">
        <v>0</v>
      </c>
      <c r="G2" s="3"/>
      <c r="H2" s="3"/>
    </row>
    <row r="3" spans="1:8" ht="12.5" x14ac:dyDescent="0.25">
      <c r="A3" s="1">
        <v>1</v>
      </c>
      <c r="B3" s="1" t="s">
        <v>20</v>
      </c>
      <c r="C3" s="1" t="s">
        <v>21</v>
      </c>
      <c r="D3" s="1">
        <v>109050.4</v>
      </c>
      <c r="E3" s="1">
        <f>D3*(333.06-320)</f>
        <v>1424198.2240000002</v>
      </c>
      <c r="F3" s="1">
        <f t="shared" ref="F3:F5" si="0">F2+E3</f>
        <v>1424198.2240000002</v>
      </c>
      <c r="G3" s="3"/>
      <c r="H3" s="3"/>
    </row>
    <row r="4" spans="1:8" ht="12.5" x14ac:dyDescent="0.25">
      <c r="A4" s="1">
        <v>2</v>
      </c>
      <c r="B4" s="1" t="s">
        <v>22</v>
      </c>
      <c r="C4" s="1" t="s">
        <v>23</v>
      </c>
      <c r="D4" s="1">
        <v>1546.77</v>
      </c>
      <c r="E4" s="1">
        <f>D4*(320-35)</f>
        <v>440829.45</v>
      </c>
      <c r="F4" s="1">
        <f t="shared" si="0"/>
        <v>1865027.6740000001</v>
      </c>
      <c r="G4" s="3"/>
      <c r="H4" s="3"/>
    </row>
    <row r="5" spans="1:8" ht="12.5" x14ac:dyDescent="0.25">
      <c r="A5" s="1">
        <v>3</v>
      </c>
      <c r="B5" s="1" t="s">
        <v>24</v>
      </c>
      <c r="C5" s="1" t="s">
        <v>25</v>
      </c>
      <c r="D5" s="1">
        <v>-107503.63</v>
      </c>
      <c r="E5" s="1">
        <f>D5*(35-27.14)</f>
        <v>-844978.5318</v>
      </c>
      <c r="F5" s="1">
        <f t="shared" si="0"/>
        <v>1020049.1422000001</v>
      </c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E1:K10"/>
  <sheetViews>
    <sheetView tabSelected="1" workbookViewId="0">
      <selection activeCell="K6" sqref="K6"/>
    </sheetView>
  </sheetViews>
  <sheetFormatPr defaultColWidth="12.54296875" defaultRowHeight="15.75" customHeight="1" x14ac:dyDescent="0.25"/>
  <cols>
    <col min="1" max="2" width="14" bestFit="1" customWidth="1"/>
    <col min="3" max="4" width="15.1796875" bestFit="1" customWidth="1"/>
  </cols>
  <sheetData>
    <row r="1" spans="5:11" ht="14.5" x14ac:dyDescent="0.35">
      <c r="K1" s="2"/>
    </row>
    <row r="2" spans="5:11" ht="14.5" x14ac:dyDescent="0.35">
      <c r="J2" s="6"/>
      <c r="K2" s="2"/>
    </row>
    <row r="3" spans="5:11" ht="14.5" x14ac:dyDescent="0.35">
      <c r="E3" s="1" t="s">
        <v>26</v>
      </c>
      <c r="F3" s="1" t="s">
        <v>27</v>
      </c>
      <c r="G3" s="1" t="s">
        <v>28</v>
      </c>
      <c r="H3" s="1" t="s">
        <v>29</v>
      </c>
      <c r="I3" s="7"/>
      <c r="J3" s="6"/>
      <c r="K3" s="2"/>
    </row>
    <row r="4" spans="5:11" ht="14.5" x14ac:dyDescent="0.35">
      <c r="E4" s="7">
        <v>0</v>
      </c>
      <c r="F4" s="7">
        <v>343.06</v>
      </c>
      <c r="G4" s="7">
        <v>0</v>
      </c>
      <c r="H4" s="7">
        <v>310</v>
      </c>
      <c r="I4" s="7"/>
      <c r="J4" s="6"/>
      <c r="K4" s="2"/>
    </row>
    <row r="5" spans="5:11" ht="14.5" x14ac:dyDescent="0.35">
      <c r="E5" s="1">
        <v>32503630</v>
      </c>
      <c r="F5" s="7">
        <v>45</v>
      </c>
      <c r="G5" s="1">
        <v>31483344</v>
      </c>
      <c r="H5" s="7">
        <v>17.14</v>
      </c>
      <c r="J5" s="6"/>
      <c r="K5" s="2"/>
    </row>
    <row r="6" spans="5:11" ht="14.5" x14ac:dyDescent="0.35">
      <c r="F6" s="4"/>
      <c r="G6" s="4"/>
      <c r="H6" s="4"/>
      <c r="I6" s="4"/>
      <c r="J6" s="4"/>
      <c r="K6" s="2"/>
    </row>
    <row r="7" spans="5:11" ht="12.5" x14ac:dyDescent="0.25"/>
    <row r="8" spans="5:11" ht="12.5" x14ac:dyDescent="0.25"/>
    <row r="9" spans="5:11" ht="12.5" x14ac:dyDescent="0.25"/>
    <row r="10" spans="5:11" ht="12.5" x14ac:dyDescent="0.25"/>
  </sheetData>
  <pageMargins left="0" right="0" top="0" bottom="0" header="0" footer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Stream Data</vt:lpstr>
      <vt:lpstr>Cascade Matrix</vt:lpstr>
      <vt:lpstr>Hot and Cold Curve</vt:lpstr>
      <vt:lpstr>HEN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pc</cp:lastModifiedBy>
  <cp:revision/>
  <dcterms:created xsi:type="dcterms:W3CDTF">2026-08-23T13:47:00Z</dcterms:created>
  <dcterms:modified xsi:type="dcterms:W3CDTF">2026-08-23T17:25:12Z</dcterms:modified>
  <cp:category/>
  <cp:contentStatus/>
</cp:coreProperties>
</file>